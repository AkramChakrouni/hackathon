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lad1" sheetId="1" state="visible" r:id="rId1"/>
  </sheets>
  <definedNames>
    <definedName name="_xlnm._FilterDatabase" localSheetId="0" hidden="1">'Blad1'!$A$1:$P$51</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cheme val="minor"/>
    </font>
    <font>
      <name val="Arial"/>
      <color theme="1"/>
      <scheme val="minor"/>
    </font>
    <font>
      <name val="Arial"/>
      <i val="1"/>
      <color theme="1"/>
      <scheme val="minor"/>
    </font>
  </fonts>
  <fills count="3">
    <fill>
      <patternFill/>
    </fill>
    <fill>
      <patternFill patternType="lightGray"/>
    </fill>
    <fill>
      <patternFill patternType="solid">
        <fgColor rgb="FFCFE2F3"/>
        <bgColor rgb="FFCFE2F3"/>
      </patternFill>
    </fill>
  </fills>
  <borders count="1">
    <border/>
  </borders>
  <cellStyleXfs count="1">
    <xf numFmtId="0" fontId="0" fillId="0" borderId="0"/>
  </cellStyleXfs>
  <cellXfs count="12">
    <xf numFmtId="0" fontId="0" fillId="0" borderId="0" applyAlignment="1" pivotButton="0" quotePrefix="0" xfId="0">
      <alignment vertical="bottom"/>
    </xf>
    <xf numFmtId="0" fontId="1" fillId="2" borderId="0" applyAlignment="1" pivotButton="0" quotePrefix="0" xfId="0">
      <alignment wrapText="1"/>
    </xf>
    <xf numFmtId="0" fontId="1" fillId="0" borderId="0" pivotButton="0" quotePrefix="0" xfId="0"/>
    <xf numFmtId="0" fontId="2" fillId="0" borderId="0" applyAlignment="1" pivotButton="0" quotePrefix="0" xfId="0">
      <alignment vertical="top" wrapText="1"/>
    </xf>
    <xf numFmtId="0" fontId="2" fillId="0" borderId="0" applyAlignment="1" pivotButton="0" quotePrefix="0" xfId="0">
      <alignment vertical="top" wrapText="1"/>
    </xf>
    <xf numFmtId="0" fontId="1" fillId="2" borderId="0" pivotButton="0" quotePrefix="0" xfId="0"/>
    <xf numFmtId="0" fontId="1" fillId="2" borderId="0" pivotButton="0" quotePrefix="0" xfId="0"/>
    <xf numFmtId="0" fontId="2" fillId="0" borderId="0" pivotButton="0" quotePrefix="0" xfId="0"/>
    <xf numFmtId="10" fontId="2" fillId="0" borderId="0" pivotButton="0" quotePrefix="0" xfId="0"/>
    <xf numFmtId="0" fontId="2" fillId="0" borderId="0" pivotButton="0" quotePrefix="0" xfId="0"/>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61"/>
  <sheetViews>
    <sheetView workbookViewId="0">
      <pane ySplit="1" topLeftCell="A2" activePane="bottomLeft" state="frozen"/>
      <selection pane="bottomLeft" activeCell="B3" sqref="B3"/>
    </sheetView>
  </sheetViews>
  <sheetFormatPr baseColWidth="8" defaultColWidth="12.63" defaultRowHeight="15.75" customHeight="1"/>
  <cols>
    <col width="10.13" customWidth="1" style="11" min="1" max="1"/>
    <col width="42.63" customWidth="1" style="11" min="2" max="2"/>
    <col width="13.13" customWidth="1" style="11" min="3" max="3"/>
    <col width="22.63" customWidth="1" style="11" min="4" max="4"/>
    <col width="27" customWidth="1" style="11" min="5" max="5"/>
    <col width="12.38" customWidth="1" style="11" min="6" max="6"/>
    <col width="25.13" customWidth="1" style="11" min="7" max="7"/>
    <col width="40.13" customWidth="1" style="11" min="8" max="8"/>
    <col width="37.63" customWidth="1" style="11" min="11" max="11"/>
    <col width="37.63" customWidth="1" style="11" min="14" max="14"/>
  </cols>
  <sheetData>
    <row r="1">
      <c r="A1" s="1" t="inlineStr">
        <is>
          <t>ID</t>
        </is>
      </c>
      <c r="B1" s="1" t="inlineStr">
        <is>
          <t>Question</t>
        </is>
      </c>
      <c r="C1" s="1" t="inlineStr">
        <is>
          <t>Correct answer</t>
        </is>
      </c>
      <c r="D1" s="1" t="inlineStr">
        <is>
          <t>Source doc</t>
        </is>
      </c>
      <c r="E1" s="1" t="inlineStr">
        <is>
          <t>Expected flag (green/orange/red)</t>
        </is>
      </c>
      <c r="F1" s="1" t="inlineStr">
        <is>
          <t>Trap? (yes/no)</t>
        </is>
      </c>
      <c r="G1" s="1" t="inlineStr">
        <is>
          <t>Trap type</t>
        </is>
      </c>
      <c r="H1" s="1" t="inlineStr">
        <is>
          <t>Key facts expected</t>
        </is>
      </c>
      <c r="I1" s="1" t="inlineStr">
        <is>
          <t>SSRM ownership</t>
        </is>
      </c>
      <c r="J1" s="1" t="inlineStr">
        <is>
          <t>Matching past answer (2025)</t>
        </is>
      </c>
      <c r="K1" s="1" t="inlineStr">
        <is>
          <t>nebius_answer</t>
        </is>
      </c>
      <c r="L1" s="1" t="inlineStr">
        <is>
          <t>nebius_flag</t>
        </is>
      </c>
      <c r="M1" s="1" t="inlineStr">
        <is>
          <t>nebius_correct (1 / 0,5 / 0)</t>
        </is>
      </c>
      <c r="N1" s="1" t="inlineStr">
        <is>
          <t>gpt_answer</t>
        </is>
      </c>
      <c r="O1" s="1" t="inlineStr">
        <is>
          <t>gpt_flag</t>
        </is>
      </c>
      <c r="P1" s="1" t="inlineStr">
        <is>
          <t>gpt_correct (1 / 0,5 / 0)</t>
        </is>
      </c>
      <c r="Q1" s="2" t="n"/>
      <c r="R1" s="2" t="n"/>
      <c r="S1" s="2" t="n"/>
      <c r="T1" s="2" t="n"/>
      <c r="U1" s="2" t="n"/>
      <c r="V1" s="2" t="n"/>
      <c r="W1" s="2" t="n"/>
      <c r="X1" s="2" t="n"/>
      <c r="Y1" s="2" t="n"/>
      <c r="Z1" s="2" t="n"/>
    </row>
    <row r="2">
      <c r="A2" s="4" t="inlineStr">
        <is>
          <t>A&amp;A-02.1</t>
        </is>
      </c>
      <c r="B2" s="4" t="inlineStr">
        <is>
          <t>Are independent audit and assurance assessments conducted according to relevant standards at least annually?</t>
        </is>
      </c>
      <c r="C2" s="4" t="inlineStr">
        <is>
          <t>Yes</t>
        </is>
      </c>
      <c r="D2" s="4" t="inlineStr">
        <is>
          <t>Information Security Policy §2</t>
        </is>
      </c>
      <c r="E2" s="4" t="inlineStr">
        <is>
          <t>green</t>
        </is>
      </c>
      <c r="F2" s="4" t="inlineStr">
        <is>
          <t>no</t>
        </is>
      </c>
      <c r="G2" s="4" t="n"/>
      <c r="H2" s="4" t="inlineStr">
        <is>
          <t>ISO/IEC 27001:2022 certified since May 2024; annual external surveillance audit by accredited certification body; annual internal audit</t>
        </is>
      </c>
      <c r="I2" s="4" t="inlineStr">
        <is>
          <t>CSP-owned</t>
        </is>
      </c>
      <c r="J2" s="4" t="inlineStr">
        <is>
          <t>VQ-01</t>
        </is>
      </c>
      <c r="K2" s="4" t="inlineStr">
        <is>
          <t>Yes</t>
        </is>
      </c>
      <c r="L2" s="4" t="inlineStr">
        <is>
          <t>green</t>
        </is>
      </c>
      <c r="M2" s="4" t="n">
        <v>1</v>
      </c>
      <c r="N2" s="4" t="n"/>
      <c r="O2" s="4" t="n"/>
      <c r="P2" s="4" t="n"/>
    </row>
    <row r="3">
      <c r="A3" s="4" t="inlineStr">
        <is>
          <t>AIS-04.1</t>
        </is>
      </c>
      <c r="B3" s="4" t="inlineStr">
        <is>
          <t>Is a secure SDLC process defined and implemented for application requirements analysis, planning, design, development, testing, deployment, and operation per organizationally designed security requirements?</t>
        </is>
      </c>
      <c r="C3" s="4" t="inlineStr">
        <is>
          <t>Yes</t>
        </is>
      </c>
      <c r="D3" s="4" t="inlineStr">
        <is>
          <t>Information Security Policy §7</t>
        </is>
      </c>
      <c r="E3" s="4" t="inlineStr">
        <is>
          <t>green</t>
        </is>
      </c>
      <c r="F3" s="4" t="inlineStr">
        <is>
          <t>no</t>
        </is>
      </c>
      <c r="G3" s="4" t="n"/>
      <c r="H3" s="4" t="inlineStr">
        <is>
          <t>Secure SDLC based on OWASP ASVS Level 2; threat modelling; peer review on every pull request</t>
        </is>
      </c>
      <c r="I3" s="4" t="inlineStr">
        <is>
          <t>CSP-owned</t>
        </is>
      </c>
      <c r="J3" s="4" t="inlineStr">
        <is>
          <t>VQ-02</t>
        </is>
      </c>
      <c r="K3" s="4" t="inlineStr">
        <is>
          <t>Yes</t>
        </is>
      </c>
      <c r="L3" s="4" t="inlineStr">
        <is>
          <t>green</t>
        </is>
      </c>
      <c r="M3" s="4" t="n">
        <v>1</v>
      </c>
      <c r="N3" s="4" t="n"/>
      <c r="O3" s="4" t="n"/>
      <c r="P3" s="4" t="n"/>
    </row>
    <row r="4">
      <c r="A4" s="4" t="inlineStr">
        <is>
          <t>AIS-05.2</t>
        </is>
      </c>
      <c r="B4" s="4" t="inlineStr">
        <is>
          <t>Is testing automated when applicable and possible?</t>
        </is>
      </c>
      <c r="C4" s="4" t="inlineStr">
        <is>
          <t>Yes</t>
        </is>
      </c>
      <c r="D4" s="4" t="inlineStr">
        <is>
          <t>Information Security Policy §7</t>
        </is>
      </c>
      <c r="E4" s="4" t="inlineStr">
        <is>
          <t>green</t>
        </is>
      </c>
      <c r="F4" s="4" t="inlineStr">
        <is>
          <t>no</t>
        </is>
      </c>
      <c r="G4" s="4" t="n"/>
      <c r="H4" s="4" t="inlineStr">
        <is>
          <t>Automated unit and integration tests in GitHub Actions on every change; failed checks block merging</t>
        </is>
      </c>
      <c r="I4" s="4" t="inlineStr">
        <is>
          <t>CSP-owned</t>
        </is>
      </c>
      <c r="J4" s="4" t="n"/>
      <c r="K4" s="4" t="inlineStr">
        <is>
          <t>Unknown</t>
        </is>
      </c>
      <c r="L4" s="4" t="inlineStr">
        <is>
          <t>red</t>
        </is>
      </c>
      <c r="M4" s="4" t="n">
        <v>0</v>
      </c>
      <c r="N4" s="4" t="n"/>
      <c r="O4" s="4" t="n"/>
      <c r="P4" s="4" t="n"/>
    </row>
    <row r="5">
      <c r="A5" s="4" t="inlineStr">
        <is>
          <t>AIS-07.1</t>
        </is>
      </c>
      <c r="B5" s="4" t="inlineStr">
        <is>
          <t>Are application security vulnerabilities remediated following defined processes?</t>
        </is>
      </c>
      <c r="C5" s="4" t="inlineStr">
        <is>
          <t>Yes</t>
        </is>
      </c>
      <c r="D5" s="4" t="inlineStr">
        <is>
          <t>Information Security Policy §8</t>
        </is>
      </c>
      <c r="E5" s="4" t="inlineStr">
        <is>
          <t>green</t>
        </is>
      </c>
      <c r="F5" s="4" t="inlineStr">
        <is>
          <t>no</t>
        </is>
      </c>
      <c r="G5" s="4" t="n"/>
      <c r="H5" s="4" t="inlineStr">
        <is>
          <t>Remediation deadlines: critical 7 days, high 30 days, medium 90 days</t>
        </is>
      </c>
      <c r="I5" s="4" t="inlineStr">
        <is>
          <t>CSP-owned</t>
        </is>
      </c>
      <c r="J5" s="4" t="inlineStr">
        <is>
          <t>VQ-03</t>
        </is>
      </c>
      <c r="K5" s="4" t="inlineStr">
        <is>
          <t>Yes</t>
        </is>
      </c>
      <c r="L5" s="4" t="inlineStr">
        <is>
          <t>green</t>
        </is>
      </c>
      <c r="M5" s="4" t="n">
        <v>1</v>
      </c>
      <c r="N5" s="4" t="n"/>
      <c r="O5" s="4" t="n"/>
      <c r="P5" s="4" t="n"/>
    </row>
    <row r="6">
      <c r="A6" s="4" t="inlineStr">
        <is>
          <t>AIS-08.1</t>
        </is>
      </c>
      <c r="B6" s="4" t="inlineStr">
        <is>
          <t>Are processes, procedures, and technical measures defined and implemented to secure APIs?</t>
        </is>
      </c>
      <c r="C6" s="4" t="inlineStr">
        <is>
          <t>Yes</t>
        </is>
      </c>
      <c r="D6" s="4" t="inlineStr">
        <is>
          <t>Information Security Policy §7</t>
        </is>
      </c>
      <c r="E6" s="4" t="inlineStr">
        <is>
          <t>green</t>
        </is>
      </c>
      <c r="F6" s="4" t="inlineStr">
        <is>
          <t>no</t>
        </is>
      </c>
      <c r="G6" s="4" t="n"/>
      <c r="H6" s="4" t="inlineStr">
        <is>
          <t>OAuth 2.0 scoped tokens, rate limiting, input validation, WAF; API included in annual pentest</t>
        </is>
      </c>
      <c r="I6" s="4" t="inlineStr">
        <is>
          <t>CSP-owned</t>
        </is>
      </c>
      <c r="J6" s="4" t="n"/>
      <c r="K6" s="4" t="inlineStr">
        <is>
          <t>Yes</t>
        </is>
      </c>
      <c r="L6" s="4" t="inlineStr">
        <is>
          <t>green</t>
        </is>
      </c>
      <c r="M6" s="4" t="n">
        <v>1</v>
      </c>
      <c r="N6" s="4" t="n"/>
      <c r="O6" s="4" t="n"/>
      <c r="P6" s="4" t="n"/>
    </row>
    <row r="7">
      <c r="A7" s="4" t="inlineStr">
        <is>
          <t>BCR-01.1</t>
        </is>
      </c>
      <c r="B7" s="4" t="inlineStr">
        <is>
          <t>Are business continuity management and operational resilience policies and procedures established, documented, approved, communicated, applied, evaluated, and maintained?</t>
        </is>
      </c>
      <c r="C7" s="4" t="inlineStr">
        <is>
          <t>Yes</t>
        </is>
      </c>
      <c r="D7" s="4" t="inlineStr">
        <is>
          <t>IR and BC Policy §4</t>
        </is>
      </c>
      <c r="E7" s="4" t="inlineStr">
        <is>
          <t>green</t>
        </is>
      </c>
      <c r="F7" s="4" t="inlineStr">
        <is>
          <t>no</t>
        </is>
      </c>
      <c r="G7" s="4" t="n"/>
      <c r="H7" s="4" t="inlineStr">
        <is>
          <t>IR and BC Policy v2.3 effective May 2026, reviewed annually</t>
        </is>
      </c>
      <c r="I7" s="4" t="inlineStr">
        <is>
          <t>CSP-owned</t>
        </is>
      </c>
      <c r="J7" s="4" t="inlineStr">
        <is>
          <t>VQ-04</t>
        </is>
      </c>
      <c r="K7" s="4" t="inlineStr">
        <is>
          <t>Yes</t>
        </is>
      </c>
      <c r="L7" s="4" t="inlineStr">
        <is>
          <t>green</t>
        </is>
      </c>
      <c r="M7" s="4" t="n">
        <v>0.5</v>
      </c>
      <c r="N7" s="4" t="n"/>
      <c r="O7" s="4" t="n"/>
      <c r="P7" s="4" t="n"/>
    </row>
    <row r="8">
      <c r="A8" s="4" t="inlineStr">
        <is>
          <t>BCR-06.1</t>
        </is>
      </c>
      <c r="B8" s="4" t="inlineStr">
        <is>
          <t>Are the business continuity and operational resilience plans exercised and tested at least annually and when significant changes occur?</t>
        </is>
      </c>
      <c r="C8" s="4" t="inlineStr">
        <is>
          <t>Yes</t>
        </is>
      </c>
      <c r="D8" s="4" t="inlineStr">
        <is>
          <t>IR and BC Policy §4</t>
        </is>
      </c>
      <c r="E8" s="4" t="inlineStr">
        <is>
          <t>green</t>
        </is>
      </c>
      <c r="F8" s="4" t="inlineStr">
        <is>
          <t>no</t>
        </is>
      </c>
      <c r="G8" s="4" t="n"/>
      <c r="H8" s="4" t="inlineStr">
        <is>
          <t>Tested annually: tabletop March 2026, DR failover test April 2026</t>
        </is>
      </c>
      <c r="I8" s="4" t="inlineStr">
        <is>
          <t>CSP-owned</t>
        </is>
      </c>
      <c r="J8" s="4" t="inlineStr">
        <is>
          <t>VQ-05</t>
        </is>
      </c>
      <c r="K8" s="4" t="inlineStr">
        <is>
          <t>Yes</t>
        </is>
      </c>
      <c r="L8" s="4" t="inlineStr">
        <is>
          <t>green</t>
        </is>
      </c>
      <c r="M8" s="4" t="n">
        <v>1</v>
      </c>
      <c r="N8" s="4" t="n"/>
      <c r="O8" s="4" t="n"/>
      <c r="P8" s="4" t="n"/>
    </row>
    <row r="9">
      <c r="A9" s="4" t="inlineStr">
        <is>
          <t>BCR-08.1</t>
        </is>
      </c>
      <c r="B9" s="4" t="inlineStr">
        <is>
          <t>Are backups performed periodically?</t>
        </is>
      </c>
      <c r="C9" s="4" t="inlineStr">
        <is>
          <t>Yes</t>
        </is>
      </c>
      <c r="D9" s="4" t="inlineStr">
        <is>
          <t>IR and BC Policy §5</t>
        </is>
      </c>
      <c r="E9" s="4" t="inlineStr">
        <is>
          <t>orange</t>
        </is>
      </c>
      <c r="F9" s="4" t="inlineStr">
        <is>
          <t>yes</t>
        </is>
      </c>
      <c r="G9" s="4" t="inlineStr">
        <is>
          <t>OUTDATED: 2025 answer said weekly backups, 30 days, single region</t>
        </is>
      </c>
      <c r="H9" s="4" t="inlineStr">
        <is>
          <t>Daily full DB backups plus transaction log backups every 10 min; point in time restore 35 days; geo-redundant in North Europe</t>
        </is>
      </c>
      <c r="I9" s="4" t="inlineStr">
        <is>
          <t>Shared CSP and 3rd-party</t>
        </is>
      </c>
      <c r="J9" s="4" t="inlineStr">
        <is>
          <t>VQ-06</t>
        </is>
      </c>
      <c r="K9" s="4" t="inlineStr">
        <is>
          <t>Yes</t>
        </is>
      </c>
      <c r="L9" s="4" t="inlineStr">
        <is>
          <t>orange</t>
        </is>
      </c>
      <c r="M9" s="4" t="n">
        <v>1</v>
      </c>
      <c r="N9" s="4" t="n"/>
      <c r="O9" s="4" t="n"/>
      <c r="P9" s="4" t="n"/>
    </row>
    <row r="10">
      <c r="A10" s="4" t="inlineStr">
        <is>
          <t>BCR-08.2</t>
        </is>
      </c>
      <c r="B10" s="4" t="inlineStr">
        <is>
          <t>Is the confidentiality, integrity, and availability of the backup ensured?</t>
        </is>
      </c>
      <c r="C10" s="4" t="inlineStr">
        <is>
          <t>Yes</t>
        </is>
      </c>
      <c r="D10" s="4" t="inlineStr">
        <is>
          <t>IR and BC Policy §5</t>
        </is>
      </c>
      <c r="E10" s="4" t="inlineStr">
        <is>
          <t>green</t>
        </is>
      </c>
      <c r="F10" s="4" t="inlineStr">
        <is>
          <t>no</t>
        </is>
      </c>
      <c r="G10" s="4" t="n"/>
      <c r="H10" s="4" t="inlineStr">
        <is>
          <t>Backups AES-256 encrypted, geo-redundant, access limited to two named administrators</t>
        </is>
      </c>
      <c r="I10" s="4" t="inlineStr">
        <is>
          <t>Shared CSP and 3rd-party</t>
        </is>
      </c>
      <c r="J10" s="4" t="n"/>
      <c r="K10" s="4" t="inlineStr">
        <is>
          <t>Yes</t>
        </is>
      </c>
      <c r="L10" s="4" t="inlineStr">
        <is>
          <t>green</t>
        </is>
      </c>
      <c r="M10" s="4" t="n">
        <v>1</v>
      </c>
      <c r="N10" s="4" t="n"/>
      <c r="O10" s="4" t="n"/>
      <c r="P10" s="4" t="n"/>
    </row>
    <row r="11">
      <c r="A11" s="4" t="inlineStr">
        <is>
          <t>BCR-08.3</t>
        </is>
      </c>
      <c r="B11" s="4" t="inlineStr">
        <is>
          <t>Can backups be restored appropriately for resiliency?</t>
        </is>
      </c>
      <c r="C11" s="4" t="inlineStr">
        <is>
          <t>Yes</t>
        </is>
      </c>
      <c r="D11" s="4" t="inlineStr">
        <is>
          <t>IR and BC Policy §5</t>
        </is>
      </c>
      <c r="E11" s="4" t="inlineStr">
        <is>
          <t>orange</t>
        </is>
      </c>
      <c r="F11" s="4" t="inlineStr">
        <is>
          <t>yes</t>
        </is>
      </c>
      <c r="G11" s="4" t="inlineStr">
        <is>
          <t>OUTDATED: 2025 answer said restore test annually</t>
        </is>
      </c>
      <c r="H11" s="4" t="inlineStr">
        <is>
          <t>Restore tests performed quarterly and documented</t>
        </is>
      </c>
      <c r="I11" s="4" t="inlineStr">
        <is>
          <t>CSP-owned</t>
        </is>
      </c>
      <c r="J11" s="4" t="inlineStr">
        <is>
          <t>VQ-07</t>
        </is>
      </c>
      <c r="K11" s="4" t="inlineStr">
        <is>
          <t>Yes</t>
        </is>
      </c>
      <c r="L11" s="4" t="inlineStr">
        <is>
          <t>orange</t>
        </is>
      </c>
      <c r="M11" s="4" t="n">
        <v>0.5</v>
      </c>
      <c r="N11" s="4" t="n"/>
      <c r="O11" s="4" t="n"/>
      <c r="P11" s="4" t="n"/>
    </row>
    <row r="12">
      <c r="A12" s="4" t="inlineStr">
        <is>
          <t>BCR-11.1</t>
        </is>
      </c>
      <c r="B12" s="4" t="inlineStr">
        <is>
          <t>Are business-critical equipment supplemented with both locally redundant and geographically dispersed equipment located at a reasonable minimum distance, in accordance with applicable industry standards?</t>
        </is>
      </c>
      <c r="C12" s="4" t="inlineStr">
        <is>
          <t>Yes</t>
        </is>
      </c>
      <c r="D12" s="4" t="inlineStr">
        <is>
          <t>IR and BC Policy §6, Information Security Policy §4</t>
        </is>
      </c>
      <c r="E12" s="4" t="inlineStr">
        <is>
          <t>orange</t>
        </is>
      </c>
      <c r="F12" s="4" t="inlineStr">
        <is>
          <t>yes</t>
        </is>
      </c>
      <c r="G12" s="4" t="inlineStr">
        <is>
          <t>OUTDATED: 2025 answer was No (single region)</t>
        </is>
      </c>
      <c r="H12" s="4" t="inlineStr">
        <is>
          <t>Three availability zones in West Europe; geo-redundant backups and storage in North Europe (Ireland); regional DR failover</t>
        </is>
      </c>
      <c r="I12" s="4" t="inlineStr">
        <is>
          <t>Shared CSP and 3rd-party</t>
        </is>
      </c>
      <c r="J12" s="4" t="inlineStr">
        <is>
          <t>VQ-08</t>
        </is>
      </c>
      <c r="K12" s="4" t="inlineStr">
        <is>
          <t>Yes</t>
        </is>
      </c>
      <c r="L12" s="4" t="inlineStr">
        <is>
          <t>green</t>
        </is>
      </c>
      <c r="M12" s="4" t="n">
        <v>0.5</v>
      </c>
      <c r="N12" s="4" t="n"/>
      <c r="O12" s="4" t="n"/>
      <c r="P12" s="4" t="n"/>
    </row>
    <row r="13">
      <c r="A13" s="4" t="inlineStr">
        <is>
          <t>CCC-03.1</t>
        </is>
      </c>
      <c r="B13" s="4" t="inlineStr">
        <is>
          <t>Is a change management procedure implemented to manage the risks associated with applying changes to assets, owned, controlled or used by the organization?</t>
        </is>
      </c>
      <c r="C13" s="4" t="inlineStr">
        <is>
          <t>Yes</t>
        </is>
      </c>
      <c r="D13" s="4" t="inlineStr">
        <is>
          <t>Information Security Policy §7</t>
        </is>
      </c>
      <c r="E13" s="4" t="inlineStr">
        <is>
          <t>green</t>
        </is>
      </c>
      <c r="F13" s="4" t="inlineStr">
        <is>
          <t>no</t>
        </is>
      </c>
      <c r="G13" s="4" t="n"/>
      <c r="H13" s="4" t="inlineStr">
        <is>
          <t>All changes via peer reviewed pull request and automated pipeline; emergency changes approved by ISO and reviewed within 2 business days</t>
        </is>
      </c>
      <c r="I13" s="4" t="inlineStr">
        <is>
          <t>CSP-owned</t>
        </is>
      </c>
      <c r="J13" s="4" t="inlineStr">
        <is>
          <t>VQ-09</t>
        </is>
      </c>
      <c r="K13" s="4" t="inlineStr">
        <is>
          <t>Yes</t>
        </is>
      </c>
      <c r="L13" s="4" t="inlineStr">
        <is>
          <t>green</t>
        </is>
      </c>
      <c r="M13" s="4" t="n">
        <v>0.5</v>
      </c>
      <c r="N13" s="4" t="n"/>
      <c r="O13" s="4" t="n"/>
      <c r="P13" s="4" t="n"/>
    </row>
    <row r="14">
      <c r="A14" s="4" t="inlineStr">
        <is>
          <t>CCC-09.1</t>
        </is>
      </c>
      <c r="B14" s="4" t="inlineStr">
        <is>
          <t>Is a process to proactively roll back changes to a previously known "good state" defined and implemented in case of errors or security concerns?</t>
        </is>
      </c>
      <c r="C14" s="4" t="inlineStr">
        <is>
          <t>Yes</t>
        </is>
      </c>
      <c r="D14" s="4" t="inlineStr">
        <is>
          <t>Information Security Policy §7</t>
        </is>
      </c>
      <c r="E14" s="4" t="inlineStr">
        <is>
          <t>green</t>
        </is>
      </c>
      <c r="F14" s="4" t="inlineStr">
        <is>
          <t>no</t>
        </is>
      </c>
      <c r="G14" s="4" t="n"/>
      <c r="H14" s="4" t="inlineStr">
        <is>
          <t>Blue-green deployment allows rollback to previous known good version within minutes</t>
        </is>
      </c>
      <c r="I14" s="4" t="inlineStr">
        <is>
          <t>CSP-owned</t>
        </is>
      </c>
      <c r="J14" s="4" t="n"/>
      <c r="K14" s="4" t="inlineStr">
        <is>
          <t>Yes</t>
        </is>
      </c>
      <c r="L14" s="4" t="inlineStr">
        <is>
          <t>green</t>
        </is>
      </c>
      <c r="M14" s="4" t="n">
        <v>1</v>
      </c>
      <c r="N14" s="4" t="n"/>
      <c r="O14" s="4" t="n"/>
      <c r="P14" s="4" t="n"/>
    </row>
    <row r="15">
      <c r="A15" s="4" t="inlineStr">
        <is>
          <t>CEK-03.1</t>
        </is>
      </c>
      <c r="B15" s="4" t="inlineStr">
        <is>
          <t>Are data protection at-rest and in-transit, and where applicable in use, provided using cryptographic libraries certified to approved standards?</t>
        </is>
      </c>
      <c r="C15" s="4" t="inlineStr">
        <is>
          <t>Yes</t>
        </is>
      </c>
      <c r="D15" s="4" t="inlineStr">
        <is>
          <t>Information Security Policy §5</t>
        </is>
      </c>
      <c r="E15" s="4" t="inlineStr">
        <is>
          <t>green</t>
        </is>
      </c>
      <c r="F15" s="4" t="inlineStr">
        <is>
          <t>no</t>
        </is>
      </c>
      <c r="G15" s="4" t="n"/>
      <c r="H15" s="4" t="inlineStr">
        <is>
          <t>AES-256 at rest (TDE, Storage Service Encryption); TLS 1.2+ in transit; vetted libraries only</t>
        </is>
      </c>
      <c r="I15" s="4" t="inlineStr">
        <is>
          <t>Shared CSP and 3rd-party</t>
        </is>
      </c>
      <c r="J15" s="4" t="inlineStr">
        <is>
          <t>VQ-10</t>
        </is>
      </c>
      <c r="K15" s="4" t="inlineStr">
        <is>
          <t>Yes</t>
        </is>
      </c>
      <c r="L15" s="4" t="inlineStr">
        <is>
          <t>green</t>
        </is>
      </c>
      <c r="M15" s="4" t="n">
        <v>1</v>
      </c>
      <c r="N15" s="4" t="n"/>
      <c r="O15" s="4" t="n"/>
      <c r="P15" s="4" t="n"/>
    </row>
    <row r="16">
      <c r="A16" s="4" t="inlineStr">
        <is>
          <t>CEK-04.1</t>
        </is>
      </c>
      <c r="B16" s="4" t="inlineStr">
        <is>
          <t>Are encryption algorithms following industry standards utilized for protecting data, based on the data classification and associated risks?</t>
        </is>
      </c>
      <c r="C16" s="4" t="inlineStr">
        <is>
          <t>Yes</t>
        </is>
      </c>
      <c r="D16" s="4" t="inlineStr">
        <is>
          <t>Information Security Policy §5</t>
        </is>
      </c>
      <c r="E16" s="4" t="inlineStr">
        <is>
          <t>green</t>
        </is>
      </c>
      <c r="F16" s="4" t="inlineStr">
        <is>
          <t>no</t>
        </is>
      </c>
      <c r="G16" s="4" t="n"/>
      <c r="H16" s="4" t="inlineStr">
        <is>
          <t>Industry standard algorithms only (AES-256, TLS 1.2/1.3); custom cryptography prohibited</t>
        </is>
      </c>
      <c r="I16" s="4" t="inlineStr">
        <is>
          <t>CSP-owned</t>
        </is>
      </c>
      <c r="J16" s="4" t="inlineStr">
        <is>
          <t>VQ-11</t>
        </is>
      </c>
      <c r="K16" s="4" t="inlineStr">
        <is>
          <t>Yes</t>
        </is>
      </c>
      <c r="L16" s="4" t="inlineStr">
        <is>
          <t>green</t>
        </is>
      </c>
      <c r="M16" s="4" t="n">
        <v>1</v>
      </c>
      <c r="N16" s="4" t="n"/>
      <c r="O16" s="4" t="n"/>
      <c r="P16" s="4" t="n"/>
    </row>
    <row r="17">
      <c r="A17" s="4" t="inlineStr">
        <is>
          <t>CEK-08.1</t>
        </is>
      </c>
      <c r="B17" s="4" t="inlineStr">
        <is>
          <t>Are service providers providing service customers with the capacity to manage their own data encryption keys?</t>
        </is>
      </c>
      <c r="C17" s="4" t="inlineStr">
        <is>
          <t>No</t>
        </is>
      </c>
      <c r="D17" s="4" t="inlineStr">
        <is>
          <t>Information Security Policy §5</t>
        </is>
      </c>
      <c r="E17" s="4" t="inlineStr">
        <is>
          <t>green</t>
        </is>
      </c>
      <c r="F17" s="4" t="inlineStr">
        <is>
          <t>yes</t>
        </is>
      </c>
      <c r="G17" s="4" t="inlineStr">
        <is>
          <t>CORRECT ANSWER IS NO: model must not say Yes</t>
        </is>
      </c>
      <c r="H17" s="4" t="inlineStr">
        <is>
          <t>Customer managed keys (BYOK) not offered; all keys managed by Personivo in Azure Key Vault</t>
        </is>
      </c>
      <c r="I17" s="4" t="inlineStr">
        <is>
          <t>CSP-owned</t>
        </is>
      </c>
      <c r="J17" s="4" t="inlineStr">
        <is>
          <t>VQ-12</t>
        </is>
      </c>
      <c r="K17" s="4" t="inlineStr">
        <is>
          <t>No</t>
        </is>
      </c>
      <c r="L17" s="4" t="inlineStr">
        <is>
          <t>green</t>
        </is>
      </c>
      <c r="M17" s="4" t="n">
        <v>1</v>
      </c>
      <c r="N17" s="4" t="n"/>
      <c r="O17" s="4" t="n"/>
      <c r="P17" s="4" t="n"/>
    </row>
    <row r="18">
      <c r="A18" s="4" t="inlineStr">
        <is>
          <t>CEK-12.1</t>
        </is>
      </c>
      <c r="B18" s="4" t="inlineStr">
        <is>
          <t>Are cryptographic keys rotated based on a cryptoperiod calculated while considering information disclosure risks and legal and regulatory requirements?</t>
        </is>
      </c>
      <c r="C18" s="4" t="inlineStr">
        <is>
          <t>Yes</t>
        </is>
      </c>
      <c r="D18" s="4" t="inlineStr">
        <is>
          <t>Information Security Policy §5</t>
        </is>
      </c>
      <c r="E18" s="4" t="inlineStr">
        <is>
          <t>green</t>
        </is>
      </c>
      <c r="F18" s="4" t="inlineStr">
        <is>
          <t>no</t>
        </is>
      </c>
      <c r="G18" s="4" t="n"/>
      <c r="H18" s="4" t="inlineStr">
        <is>
          <t>Keys rotated automatically every 12 months, or immediately on suspected compromise</t>
        </is>
      </c>
      <c r="I18" s="4" t="inlineStr">
        <is>
          <t>Shared CSP and 3rd-party</t>
        </is>
      </c>
      <c r="J18" s="4" t="n"/>
      <c r="K18" s="4" t="inlineStr">
        <is>
          <t>Yes</t>
        </is>
      </c>
      <c r="L18" s="4" t="inlineStr">
        <is>
          <t>green</t>
        </is>
      </c>
      <c r="M18" s="4" t="n">
        <v>1</v>
      </c>
      <c r="N18" s="4" t="n"/>
      <c r="O18" s="4" t="n"/>
      <c r="P18" s="4" t="n"/>
    </row>
    <row r="19">
      <c r="A19" s="4" t="inlineStr">
        <is>
          <t>DCS-08.1</t>
        </is>
      </c>
      <c r="B19" s="4" t="inlineStr">
        <is>
          <t>Are physical security perimeters designed and implemented to safeguard personnel, data, and information systems?</t>
        </is>
      </c>
      <c r="C19" s="4" t="inlineStr">
        <is>
          <t>Yes</t>
        </is>
      </c>
      <c r="D19" s="4" t="inlineStr">
        <is>
          <t>Information Security Policy §4</t>
        </is>
      </c>
      <c r="E19" s="4" t="inlineStr">
        <is>
          <t>green</t>
        </is>
      </c>
      <c r="F19" s="4" t="inlineStr">
        <is>
          <t>no</t>
        </is>
      </c>
      <c r="G19" s="4" t="n"/>
      <c r="H19" s="4" t="inlineStr">
        <is>
          <t>No own data centers; physical security outsourced to Microsoft Azure; Microsoft ISO 27001 and SOC 2 reports reviewed annually</t>
        </is>
      </c>
      <c r="I19" s="4" t="inlineStr">
        <is>
          <t>3rd-party outsourced</t>
        </is>
      </c>
      <c r="J19" s="4" t="inlineStr">
        <is>
          <t>VQ-13</t>
        </is>
      </c>
      <c r="K19" s="4" t="inlineStr">
        <is>
          <t>Yes</t>
        </is>
      </c>
      <c r="L19" s="4" t="inlineStr">
        <is>
          <t>green</t>
        </is>
      </c>
      <c r="M19" s="4" t="n">
        <v>1</v>
      </c>
      <c r="N19" s="4" t="n"/>
      <c r="O19" s="4" t="n"/>
      <c r="P19" s="4" t="n"/>
    </row>
    <row r="20">
      <c r="A20" s="4" t="inlineStr">
        <is>
          <t>DSP-03.1</t>
        </is>
      </c>
      <c r="B20" s="4" t="inlineStr">
        <is>
          <t>Is a data inventory created and maintained for sensitive, regulated and personal information (at a minimum)?</t>
        </is>
      </c>
      <c r="C20" s="4" t="inlineStr">
        <is>
          <t>Yes</t>
        </is>
      </c>
      <c r="D20" s="4" t="inlineStr">
        <is>
          <t>Data Protection Policy §5</t>
        </is>
      </c>
      <c r="E20" s="4" t="inlineStr">
        <is>
          <t>green</t>
        </is>
      </c>
      <c r="F20" s="4" t="inlineStr">
        <is>
          <t>no</t>
        </is>
      </c>
      <c r="G20" s="4" t="n"/>
      <c r="H20" s="4" t="inlineStr">
        <is>
          <t>Record of processing activities (Art. 30 GDPR) as data inventory, reviewed annually</t>
        </is>
      </c>
      <c r="I20" s="4" t="inlineStr">
        <is>
          <t>CSP-owned</t>
        </is>
      </c>
      <c r="J20" s="4" t="n"/>
      <c r="K20" s="4" t="inlineStr">
        <is>
          <t>Yes</t>
        </is>
      </c>
      <c r="L20" s="4" t="inlineStr">
        <is>
          <t>green</t>
        </is>
      </c>
      <c r="M20" s="4" t="n">
        <v>1</v>
      </c>
      <c r="N20" s="4" t="n"/>
      <c r="O20" s="4" t="n"/>
      <c r="P20" s="4" t="n"/>
    </row>
    <row r="21">
      <c r="A21" s="4" t="inlineStr">
        <is>
          <t>DSP-04.1</t>
        </is>
      </c>
      <c r="B21" s="4" t="inlineStr">
        <is>
          <t>Is data classified according to type and sensitivity levels?</t>
        </is>
      </c>
      <c r="C21" s="4" t="inlineStr">
        <is>
          <t>Yes</t>
        </is>
      </c>
      <c r="D21" s="4" t="inlineStr">
        <is>
          <t>Information Security Policy §3</t>
        </is>
      </c>
      <c r="E21" s="4" t="inlineStr">
        <is>
          <t>green</t>
        </is>
      </c>
      <c r="F21" s="4" t="inlineStr">
        <is>
          <t>no</t>
        </is>
      </c>
      <c r="G21" s="4" t="n"/>
      <c r="H21" s="4" t="inlineStr">
        <is>
          <t>Four levels: Public, Internal, Confidential, Strictly Confidential; customer data is Strictly Confidential</t>
        </is>
      </c>
      <c r="I21" s="4" t="inlineStr">
        <is>
          <t>CSP-owned</t>
        </is>
      </c>
      <c r="J21" s="4" t="inlineStr">
        <is>
          <t>VQ-14</t>
        </is>
      </c>
      <c r="K21" s="4" t="inlineStr">
        <is>
          <t>Yes</t>
        </is>
      </c>
      <c r="L21" s="4" t="inlineStr">
        <is>
          <t>green</t>
        </is>
      </c>
      <c r="M21" s="4" t="n">
        <v>1</v>
      </c>
      <c r="N21" s="4" t="n"/>
      <c r="O21" s="4" t="n"/>
      <c r="P21" s="4" t="n"/>
    </row>
    <row r="22">
      <c r="A22" s="4" t="inlineStr">
        <is>
          <t>DSP-05.1</t>
        </is>
      </c>
      <c r="B22" s="4" t="inlineStr">
        <is>
          <t>Is data flow documentation created to identify what data is processed and where it is stored and transmitted?</t>
        </is>
      </c>
      <c r="C22" s="4" t="inlineStr">
        <is>
          <t>Yes</t>
        </is>
      </c>
      <c r="D22" s="4" t="inlineStr">
        <is>
          <t>Data Protection Policy §5</t>
        </is>
      </c>
      <c r="E22" s="4" t="inlineStr">
        <is>
          <t>green</t>
        </is>
      </c>
      <c r="F22" s="4" t="inlineStr">
        <is>
          <t>no</t>
        </is>
      </c>
      <c r="G22" s="4" t="n"/>
      <c r="H22" s="4" t="inlineStr">
        <is>
          <t>Data flow diagrams maintained, reviewed annually and on significant change</t>
        </is>
      </c>
      <c r="I22" s="4" t="inlineStr">
        <is>
          <t>CSP-owned</t>
        </is>
      </c>
      <c r="J22" s="4" t="n"/>
      <c r="K22" s="4" t="inlineStr">
        <is>
          <t>Yes</t>
        </is>
      </c>
      <c r="L22" s="4" t="inlineStr">
        <is>
          <t>green</t>
        </is>
      </c>
      <c r="M22" s="4" t="n">
        <v>1</v>
      </c>
      <c r="N22" s="4" t="n"/>
      <c r="O22" s="4" t="n"/>
      <c r="P22" s="4" t="n"/>
    </row>
    <row r="23">
      <c r="A23" s="4" t="inlineStr">
        <is>
          <t>DSP-09.1</t>
        </is>
      </c>
      <c r="B23" s="4" t="inlineStr">
        <is>
          <t>Is a data protection impact assessment (DPIA) conducted when processing personal data and evaluating the origin, nature, particularity, and severity of risks according to any applicable laws, regulations and industry best practices?</t>
        </is>
      </c>
      <c r="C23" s="4" t="inlineStr">
        <is>
          <t>Yes</t>
        </is>
      </c>
      <c r="D23" s="4" t="inlineStr">
        <is>
          <t>Data Protection Policy §6</t>
        </is>
      </c>
      <c r="E23" s="4" t="inlineStr">
        <is>
          <t>green</t>
        </is>
      </c>
      <c r="F23" s="4" t="inlineStr">
        <is>
          <t>no</t>
        </is>
      </c>
      <c r="G23" s="4" t="n"/>
      <c r="H23" s="4" t="inlineStr">
        <is>
          <t>DPIA for high risk processing; core platform DPIA 2024, reviewed November 2025</t>
        </is>
      </c>
      <c r="I23" s="4" t="inlineStr">
        <is>
          <t>CSP-owned</t>
        </is>
      </c>
      <c r="J23" s="4" t="inlineStr">
        <is>
          <t>VQ-15</t>
        </is>
      </c>
      <c r="K23" s="4" t="inlineStr">
        <is>
          <t>Yes</t>
        </is>
      </c>
      <c r="L23" s="4" t="inlineStr">
        <is>
          <t>green</t>
        </is>
      </c>
      <c r="M23" s="4" t="n">
        <v>1</v>
      </c>
      <c r="N23" s="4" t="n"/>
      <c r="O23" s="4" t="n"/>
      <c r="P23" s="4" t="n"/>
    </row>
    <row r="24">
      <c r="A24" s="4" t="inlineStr">
        <is>
          <t>DSP-11.1</t>
        </is>
      </c>
      <c r="B24" s="4" t="inlineStr">
        <is>
          <t>Are processes, procedures, and technical measures defined, implemented, and evaluated to enable data subjects to request access to, modify, or delete personal data (per applicable laws and regulations)?</t>
        </is>
      </c>
      <c r="C24" s="4" t="inlineStr">
        <is>
          <t>Yes</t>
        </is>
      </c>
      <c r="D24" s="4" t="inlineStr">
        <is>
          <t>Data Protection Policy §7</t>
        </is>
      </c>
      <c r="E24" s="4" t="inlineStr">
        <is>
          <t>green</t>
        </is>
      </c>
      <c r="F24" s="4" t="inlineStr">
        <is>
          <t>no</t>
        </is>
      </c>
      <c r="G24" s="4" t="n"/>
      <c r="H24" s="4" t="inlineStr">
        <is>
          <t>Requests forwarded to customer within 2 business days; admin tools to view, export, correct, delete</t>
        </is>
      </c>
      <c r="I24" s="4" t="inlineStr">
        <is>
          <t>Shared CSP and CSC</t>
        </is>
      </c>
      <c r="J24" s="4" t="inlineStr">
        <is>
          <t>VQ-16</t>
        </is>
      </c>
      <c r="K24" s="4" t="inlineStr">
        <is>
          <t>Yes</t>
        </is>
      </c>
      <c r="L24" s="4" t="inlineStr">
        <is>
          <t>green</t>
        </is>
      </c>
      <c r="M24" s="4" t="n">
        <v>1</v>
      </c>
      <c r="N24" s="4" t="n"/>
      <c r="O24" s="4" t="n"/>
      <c r="P24" s="4" t="n"/>
    </row>
    <row r="25">
      <c r="A25" s="4" t="inlineStr">
        <is>
          <t>DSP-13.1</t>
        </is>
      </c>
      <c r="B25" s="4" t="inlineStr">
        <is>
          <t>Are processes, procedures, and technical measures defined, implemented, and evaluated for the transfer and sub-processing of personal data within the service supply chain (according to any applicable laws and regulations)?</t>
        </is>
      </c>
      <c r="C25" s="4" t="inlineStr">
        <is>
          <t>Yes</t>
        </is>
      </c>
      <c r="D25" s="4" t="inlineStr">
        <is>
          <t>Data Protection Policy §4</t>
        </is>
      </c>
      <c r="E25" s="4" t="inlineStr">
        <is>
          <t>green</t>
        </is>
      </c>
      <c r="F25" s="4" t="inlineStr">
        <is>
          <t>no</t>
        </is>
      </c>
      <c r="G25" s="4" t="n"/>
      <c r="H25" s="4" t="inlineStr">
        <is>
          <t>Sub-processors Microsoft Ireland, Mailjet (FR), Sentry EU (DE) under DPAs; 30 days notice for new sub-processors with right to object</t>
        </is>
      </c>
      <c r="I25" s="4" t="inlineStr">
        <is>
          <t>CSP-owned</t>
        </is>
      </c>
      <c r="J25" s="4" t="n"/>
      <c r="K25" s="4" t="inlineStr">
        <is>
          <t>Yes</t>
        </is>
      </c>
      <c r="L25" s="4" t="inlineStr">
        <is>
          <t>green</t>
        </is>
      </c>
      <c r="M25" s="4" t="n">
        <v>0.5</v>
      </c>
      <c r="N25" s="4" t="n"/>
      <c r="O25" s="4" t="n"/>
      <c r="P25" s="4" t="n"/>
    </row>
    <row r="26">
      <c r="A26" s="4" t="inlineStr">
        <is>
          <t>DSP-15.1</t>
        </is>
      </c>
      <c r="B26" s="4" t="inlineStr">
        <is>
          <t>Is authorization from data owners obtained, and the associated risk managed, before replicating or using production data in non-production environments?</t>
        </is>
      </c>
      <c r="C26" s="4" t="inlineStr">
        <is>
          <t>Yes</t>
        </is>
      </c>
      <c r="D26" s="4" t="inlineStr">
        <is>
          <t>Data Protection Policy §8</t>
        </is>
      </c>
      <c r="E26" s="4" t="inlineStr">
        <is>
          <t>green</t>
        </is>
      </c>
      <c r="F26" s="4" t="inlineStr">
        <is>
          <t>no</t>
        </is>
      </c>
      <c r="G26" s="4" t="n"/>
      <c r="H26" s="4" t="inlineStr">
        <is>
          <t>Production data never used in non-production; synthetic data only</t>
        </is>
      </c>
      <c r="I26" s="4" t="inlineStr">
        <is>
          <t>CSP-owned</t>
        </is>
      </c>
      <c r="J26" s="4" t="n"/>
      <c r="K26" s="4" t="inlineStr">
        <is>
          <t>Yes</t>
        </is>
      </c>
      <c r="L26" s="4" t="inlineStr">
        <is>
          <t>green</t>
        </is>
      </c>
      <c r="M26" s="4" t="n">
        <v>1</v>
      </c>
      <c r="N26" s="4" t="n"/>
      <c r="O26" s="4" t="n"/>
      <c r="P26" s="4" t="n"/>
    </row>
    <row r="27">
      <c r="A27" s="4" t="inlineStr">
        <is>
          <t>DSP-16.1</t>
        </is>
      </c>
      <c r="B27" s="4" t="inlineStr">
        <is>
          <t>Do data retention, archiving, and deletion practices follow business requirements, applicable laws, and regulations?</t>
        </is>
      </c>
      <c r="C27" s="4" t="inlineStr">
        <is>
          <t>Yes</t>
        </is>
      </c>
      <c r="D27" s="4" t="inlineStr">
        <is>
          <t>Data Protection Policy §9 vs Information Security Policy §12</t>
        </is>
      </c>
      <c r="E27" s="4" t="inlineStr">
        <is>
          <t>orange</t>
        </is>
      </c>
      <c r="F27" s="4" t="inlineStr">
        <is>
          <t>yes</t>
        </is>
      </c>
      <c r="G27" s="4" t="inlineStr">
        <is>
          <t>CONTRADICTION between two policies</t>
        </is>
      </c>
      <c r="H27" s="4" t="inlineStr">
        <is>
          <t>Retention and deletion practices exist, BUT deletion period after contract end conflicts: Data Protection Policy says 30 days, InfoSec Policy says 90 days</t>
        </is>
      </c>
      <c r="I27" s="4" t="inlineStr">
        <is>
          <t>CSP-owned</t>
        </is>
      </c>
      <c r="J27" s="4" t="n"/>
      <c r="K27" s="4" t="inlineStr">
        <is>
          <t>Yes</t>
        </is>
      </c>
      <c r="L27" s="4" t="inlineStr">
        <is>
          <t>orange</t>
        </is>
      </c>
      <c r="M27" s="4" t="n">
        <v>0.5</v>
      </c>
      <c r="N27" s="4" t="n"/>
      <c r="O27" s="4" t="n"/>
      <c r="P27" s="4" t="n"/>
    </row>
    <row r="28">
      <c r="A28" s="4" t="inlineStr">
        <is>
          <t>DSP-18.1</t>
        </is>
      </c>
      <c r="B28" s="4" t="inlineStr">
        <is>
          <t>Does the service provider ensure that a procedure is in place and communicated to service customers for managing and responding to requests by law enforcement authorities for the disclosure of personal data, in accordance with applicable laws and regulations?</t>
        </is>
      </c>
      <c r="C28" s="4" t="inlineStr">
        <is>
          <t>Unknown</t>
        </is>
      </c>
      <c r="D28" s="4" t="inlineStr">
        <is>
          <t>None</t>
        </is>
      </c>
      <c r="E28" s="4" t="inlineStr">
        <is>
          <t>red</t>
        </is>
      </c>
      <c r="F28" s="4" t="inlineStr">
        <is>
          <t>yes</t>
        </is>
      </c>
      <c r="G28" s="4" t="inlineStr">
        <is>
          <t>UNCOVERED</t>
        </is>
      </c>
      <c r="H28" s="4" t="inlineStr">
        <is>
          <t>No document covers handling of law enforcement requests; must go to a human</t>
        </is>
      </c>
      <c r="I28" s="4" t="inlineStr">
        <is>
          <t>CSP-owned</t>
        </is>
      </c>
      <c r="J28" s="4" t="n"/>
      <c r="K28" s="4" t="inlineStr">
        <is>
          <t>Unknown</t>
        </is>
      </c>
      <c r="L28" s="4" t="inlineStr">
        <is>
          <t>red</t>
        </is>
      </c>
      <c r="M28" s="4" t="n">
        <v>1</v>
      </c>
      <c r="N28" s="4" t="n"/>
      <c r="O28" s="4" t="n"/>
      <c r="P28" s="4" t="n"/>
    </row>
    <row r="29">
      <c r="A29" s="4" t="inlineStr">
        <is>
          <t>DSP-19.1</t>
        </is>
      </c>
      <c r="B29" s="4" t="inlineStr">
        <is>
          <t>Are processes, procedures, and technical measures defined and implemented to specify and document physical data locations, including locales where data is processed or backed up?</t>
        </is>
      </c>
      <c r="C29" s="4" t="inlineStr">
        <is>
          <t>Yes</t>
        </is>
      </c>
      <c r="D29" s="4" t="inlineStr">
        <is>
          <t>Data Protection Policy §3, Information Security Policy §4</t>
        </is>
      </c>
      <c r="E29" s="4" t="inlineStr">
        <is>
          <t>green</t>
        </is>
      </c>
      <c r="F29" s="4" t="inlineStr">
        <is>
          <t>no</t>
        </is>
      </c>
      <c r="G29" s="4" t="n"/>
      <c r="H29" s="4" t="inlineStr">
        <is>
          <t>Primary Azure West Europe (Netherlands), backups Azure North Europe (Ireland); no data outside EEA</t>
        </is>
      </c>
      <c r="I29" s="4" t="inlineStr">
        <is>
          <t>Shared CSP and 3rd-party</t>
        </is>
      </c>
      <c r="J29" s="4" t="inlineStr">
        <is>
          <t>VQ-17</t>
        </is>
      </c>
      <c r="K29" s="4" t="inlineStr">
        <is>
          <t>Yes</t>
        </is>
      </c>
      <c r="L29" s="4" t="inlineStr">
        <is>
          <t>green</t>
        </is>
      </c>
      <c r="M29" s="4" t="n">
        <v>1</v>
      </c>
      <c r="N29" s="4" t="n"/>
      <c r="O29" s="4" t="n"/>
      <c r="P29" s="4" t="n"/>
    </row>
    <row r="30">
      <c r="A30" s="4" t="inlineStr">
        <is>
          <t>GRC-05.1</t>
        </is>
      </c>
      <c r="B30" s="4" t="inlineStr">
        <is>
          <t>Has an information security program (including programs of all relevant CCM domains) been developed and implemented?</t>
        </is>
      </c>
      <c r="C30" s="4" t="inlineStr">
        <is>
          <t>Yes</t>
        </is>
      </c>
      <c r="D30" s="4" t="inlineStr">
        <is>
          <t>Information Security Policy §2</t>
        </is>
      </c>
      <c r="E30" s="4" t="inlineStr">
        <is>
          <t>green</t>
        </is>
      </c>
      <c r="F30" s="4" t="inlineStr">
        <is>
          <t>no</t>
        </is>
      </c>
      <c r="G30" s="4" t="n"/>
      <c r="H30" s="4" t="inlineStr">
        <is>
          <t>ISO 27001 certified ISMS; CTO acts as Information Security Officer</t>
        </is>
      </c>
      <c r="I30" s="4" t="inlineStr">
        <is>
          <t>CSP-owned</t>
        </is>
      </c>
      <c r="J30" s="4" t="inlineStr">
        <is>
          <t>VQ-18</t>
        </is>
      </c>
      <c r="K30" s="4" t="inlineStr">
        <is>
          <t>Yes</t>
        </is>
      </c>
      <c r="L30" s="4" t="inlineStr">
        <is>
          <t>green</t>
        </is>
      </c>
      <c r="M30" s="4" t="n">
        <v>0.5</v>
      </c>
      <c r="N30" s="4" t="n"/>
      <c r="O30" s="4" t="n"/>
      <c r="P30" s="4" t="n"/>
    </row>
    <row r="31">
      <c r="A31" s="4" t="inlineStr">
        <is>
          <t>GRC-08.1</t>
        </is>
      </c>
      <c r="B31" s="4" t="inlineStr">
        <is>
          <t>Is contact established and maintained with related special interest groups and other relevant entities?</t>
        </is>
      </c>
      <c r="C31" s="4" t="inlineStr">
        <is>
          <t>Unknown</t>
        </is>
      </c>
      <c r="D31" s="4" t="inlineStr">
        <is>
          <t>None</t>
        </is>
      </c>
      <c r="E31" s="4" t="inlineStr">
        <is>
          <t>red</t>
        </is>
      </c>
      <c r="F31" s="4" t="inlineStr">
        <is>
          <t>yes</t>
        </is>
      </c>
      <c r="G31" s="4" t="inlineStr">
        <is>
          <t>UNCOVERED</t>
        </is>
      </c>
      <c r="H31" s="4" t="inlineStr">
        <is>
          <t>No document mentions contact with special interest groups or similar bodies; must go to a human</t>
        </is>
      </c>
      <c r="I31" s="4" t="inlineStr">
        <is>
          <t>CSP-owned</t>
        </is>
      </c>
      <c r="J31" s="4" t="n"/>
      <c r="K31" s="4" t="inlineStr">
        <is>
          <t>Unknown</t>
        </is>
      </c>
      <c r="L31" s="4" t="inlineStr">
        <is>
          <t>red</t>
        </is>
      </c>
      <c r="M31" s="4" t="n">
        <v>1</v>
      </c>
      <c r="N31" s="4" t="n"/>
      <c r="O31" s="4" t="n"/>
      <c r="P31" s="4" t="n"/>
    </row>
    <row r="32">
      <c r="A32" s="4" t="inlineStr">
        <is>
          <t>HRS-01.1</t>
        </is>
      </c>
      <c r="B32" s="4" t="inlineStr">
        <is>
          <t>Are background verification policies and procedures of all new employees (including but not limited to remote employees, contractors, and third parties) established, documented, approved, communicated, applied, evaluated, and maintained?</t>
        </is>
      </c>
      <c r="C32" s="4" t="inlineStr">
        <is>
          <t>Yes</t>
        </is>
      </c>
      <c r="D32" s="4" t="inlineStr">
        <is>
          <t>Information Security Policy §11</t>
        </is>
      </c>
      <c r="E32" s="4" t="inlineStr">
        <is>
          <t>green</t>
        </is>
      </c>
      <c r="F32" s="4" t="inlineStr">
        <is>
          <t>no</t>
        </is>
      </c>
      <c r="G32" s="4" t="n"/>
      <c r="H32" s="4" t="inlineStr">
        <is>
          <t>VOG (Certificate of Conduct) required for all employees and contractors before start</t>
        </is>
      </c>
      <c r="I32" s="4" t="inlineStr">
        <is>
          <t>CSP-owned</t>
        </is>
      </c>
      <c r="J32" s="4" t="inlineStr">
        <is>
          <t>VQ-19</t>
        </is>
      </c>
      <c r="K32" s="4" t="inlineStr">
        <is>
          <t>Yes</t>
        </is>
      </c>
      <c r="L32" s="4" t="inlineStr">
        <is>
          <t>green</t>
        </is>
      </c>
      <c r="M32" s="4" t="n">
        <v>1</v>
      </c>
      <c r="N32" s="4" t="n"/>
      <c r="O32" s="4" t="n"/>
      <c r="P32" s="4" t="n"/>
    </row>
    <row r="33">
      <c r="A33" s="4" t="inlineStr">
        <is>
          <t>HRS-05.1</t>
        </is>
      </c>
      <c r="B33" s="4" t="inlineStr">
        <is>
          <t>Are return procedures of organizationally-owned assets by terminated employees established and documented?</t>
        </is>
      </c>
      <c r="C33" s="4" t="inlineStr">
        <is>
          <t>Yes</t>
        </is>
      </c>
      <c r="D33" s="4" t="inlineStr">
        <is>
          <t>Information Security Policy §11</t>
        </is>
      </c>
      <c r="E33" s="4" t="inlineStr">
        <is>
          <t>green</t>
        </is>
      </c>
      <c r="F33" s="4" t="inlineStr">
        <is>
          <t>no</t>
        </is>
      </c>
      <c r="G33" s="4" t="n"/>
      <c r="H33" s="4" t="inlineStr">
        <is>
          <t>Company equipment returned on last working day</t>
        </is>
      </c>
      <c r="I33" s="4" t="inlineStr">
        <is>
          <t>CSP-owned</t>
        </is>
      </c>
      <c r="J33" s="4" t="n"/>
      <c r="K33" s="4" t="inlineStr">
        <is>
          <t>Yes</t>
        </is>
      </c>
      <c r="L33" s="4" t="inlineStr">
        <is>
          <t>green</t>
        </is>
      </c>
      <c r="M33" s="4" t="n">
        <v>1</v>
      </c>
      <c r="N33" s="4" t="n"/>
      <c r="O33" s="4" t="n"/>
      <c r="P33" s="4" t="n"/>
    </row>
    <row r="34">
      <c r="A34" s="4" t="inlineStr">
        <is>
          <t>HRS-10.1</t>
        </is>
      </c>
      <c r="B34" s="4" t="inlineStr">
        <is>
          <t>Are requirements for non-disclosure/confidentiality agreements reflecting organizational data protection needs and operational details identified, documented, and reviewed at planned intervals?</t>
        </is>
      </c>
      <c r="C34" s="4" t="inlineStr">
        <is>
          <t>Yes</t>
        </is>
      </c>
      <c r="D34" s="4" t="inlineStr">
        <is>
          <t>Information Security Policy §11</t>
        </is>
      </c>
      <c r="E34" s="4" t="inlineStr">
        <is>
          <t>green</t>
        </is>
      </c>
      <c r="F34" s="4" t="inlineStr">
        <is>
          <t>no</t>
        </is>
      </c>
      <c r="G34" s="4" t="n"/>
      <c r="H34" s="4" t="inlineStr">
        <is>
          <t>Confidentiality clause in employment contracts; separate NDA for contractors</t>
        </is>
      </c>
      <c r="I34" s="4" t="inlineStr">
        <is>
          <t>CSP-owned</t>
        </is>
      </c>
      <c r="J34" s="4" t="inlineStr">
        <is>
          <t>VQ-20</t>
        </is>
      </c>
      <c r="K34" s="4" t="inlineStr">
        <is>
          <t>Yes</t>
        </is>
      </c>
      <c r="L34" s="4" t="inlineStr">
        <is>
          <t>green</t>
        </is>
      </c>
      <c r="M34" s="4" t="n">
        <v>1</v>
      </c>
      <c r="N34" s="4" t="n"/>
      <c r="O34" s="4" t="n"/>
      <c r="P34" s="4" t="n"/>
    </row>
    <row r="35">
      <c r="A35" s="4" t="inlineStr">
        <is>
          <t>HRS-11.1</t>
        </is>
      </c>
      <c r="B35" s="4" t="inlineStr">
        <is>
          <t>Is a security awareness training program for all employees of the organization established, documented, approved, communicated, applied, evaluated and maintained?</t>
        </is>
      </c>
      <c r="C35" s="4" t="inlineStr">
        <is>
          <t>Yes</t>
        </is>
      </c>
      <c r="D35" s="4" t="inlineStr">
        <is>
          <t>Information Security Policy §11</t>
        </is>
      </c>
      <c r="E35" s="4" t="inlineStr">
        <is>
          <t>green</t>
        </is>
      </c>
      <c r="F35" s="4" t="inlineStr">
        <is>
          <t>no</t>
        </is>
      </c>
      <c r="G35" s="4" t="n"/>
      <c r="H35" s="4" t="inlineStr">
        <is>
          <t>Training at onboarding and annually; quarterly phishing simulations</t>
        </is>
      </c>
      <c r="I35" s="4" t="inlineStr">
        <is>
          <t>CSP-owned</t>
        </is>
      </c>
      <c r="J35" s="4" t="inlineStr">
        <is>
          <t>VQ-21</t>
        </is>
      </c>
      <c r="K35" s="4" t="inlineStr">
        <is>
          <t>Yes</t>
        </is>
      </c>
      <c r="L35" s="4" t="inlineStr">
        <is>
          <t>green</t>
        </is>
      </c>
      <c r="M35" s="4" t="n">
        <v>1</v>
      </c>
      <c r="N35" s="4" t="n"/>
      <c r="O35" s="4" t="n"/>
      <c r="P35" s="4" t="n"/>
    </row>
    <row r="36">
      <c r="A36" s="4" t="inlineStr">
        <is>
          <t>IAM-05.1</t>
        </is>
      </c>
      <c r="B36" s="4" t="inlineStr">
        <is>
          <t>Is the least privilege principle employed when implementing information system access?</t>
        </is>
      </c>
      <c r="C36" s="4" t="inlineStr">
        <is>
          <t>Yes</t>
        </is>
      </c>
      <c r="D36" s="4" t="inlineStr">
        <is>
          <t>Information Security Policy §6</t>
        </is>
      </c>
      <c r="E36" s="4" t="inlineStr">
        <is>
          <t>green</t>
        </is>
      </c>
      <c r="F36" s="4" t="inlineStr">
        <is>
          <t>no</t>
        </is>
      </c>
      <c r="G36" s="4" t="n"/>
      <c r="H36" s="4" t="inlineStr">
        <is>
          <t>RBAC with least privilege; no standing production access; just in time access via PIM, max 4 hours</t>
        </is>
      </c>
      <c r="I36" s="4" t="inlineStr">
        <is>
          <t>CSP-owned</t>
        </is>
      </c>
      <c r="J36" s="4" t="inlineStr">
        <is>
          <t>VQ-22</t>
        </is>
      </c>
      <c r="K36" s="4" t="inlineStr">
        <is>
          <t>Yes</t>
        </is>
      </c>
      <c r="L36" s="4" t="inlineStr">
        <is>
          <t>green</t>
        </is>
      </c>
      <c r="M36" s="4" t="n">
        <v>1</v>
      </c>
      <c r="N36" s="4" t="n"/>
      <c r="O36" s="4" t="n"/>
      <c r="P36" s="4" t="n"/>
    </row>
    <row r="37">
      <c r="A37" s="4" t="inlineStr">
        <is>
          <t>IAM-07.1</t>
        </is>
      </c>
      <c r="B37" s="4" t="inlineStr">
        <is>
          <t>Is a process in place to de-provision or modify identity access in a timely manner?</t>
        </is>
      </c>
      <c r="C37" s="4" t="inlineStr">
        <is>
          <t>Yes</t>
        </is>
      </c>
      <c r="D37" s="4" t="inlineStr">
        <is>
          <t>Information Security Policy §6</t>
        </is>
      </c>
      <c r="E37" s="4" t="inlineStr">
        <is>
          <t>green</t>
        </is>
      </c>
      <c r="F37" s="4" t="inlineStr">
        <is>
          <t>no</t>
        </is>
      </c>
      <c r="G37" s="4" t="n"/>
      <c r="H37" s="4" t="inlineStr">
        <is>
          <t>Access revoked within 24 hours; immediately for involuntary terminations</t>
        </is>
      </c>
      <c r="I37" s="4" t="inlineStr">
        <is>
          <t>CSP-owned</t>
        </is>
      </c>
      <c r="J37" s="4" t="inlineStr">
        <is>
          <t>VQ-23</t>
        </is>
      </c>
      <c r="K37" s="4" t="inlineStr">
        <is>
          <t>Yes</t>
        </is>
      </c>
      <c r="L37" s="4" t="inlineStr">
        <is>
          <t>green</t>
        </is>
      </c>
      <c r="M37" s="4" t="n">
        <v>1</v>
      </c>
      <c r="N37" s="4" t="n"/>
      <c r="O37" s="4" t="n"/>
      <c r="P37" s="4" t="n"/>
    </row>
    <row r="38">
      <c r="A38" s="4" t="inlineStr">
        <is>
          <t>IAM-08.1</t>
        </is>
      </c>
      <c r="B38" s="4" t="inlineStr">
        <is>
          <t>Are reviews and revalidation of identity access for least privilege and separation of duties completed with a frequency commensurate with organizational risk tolerance, and at least annually or upon significant changes?</t>
        </is>
      </c>
      <c r="C38" s="4" t="inlineStr">
        <is>
          <t>Yes</t>
        </is>
      </c>
      <c r="D38" s="4" t="inlineStr">
        <is>
          <t>Information Security Policy §6</t>
        </is>
      </c>
      <c r="E38" s="4" t="inlineStr">
        <is>
          <t>green</t>
        </is>
      </c>
      <c r="F38" s="4" t="inlineStr">
        <is>
          <t>no</t>
        </is>
      </c>
      <c r="G38" s="4" t="n"/>
      <c r="H38" s="4" t="inlineStr">
        <is>
          <t>Access reviews quarterly for production and privileged access; every six months for other systems</t>
        </is>
      </c>
      <c r="I38" s="4" t="inlineStr">
        <is>
          <t>CSP-owned</t>
        </is>
      </c>
      <c r="J38" s="4" t="n"/>
      <c r="K38" s="4" t="inlineStr">
        <is>
          <t>Yes</t>
        </is>
      </c>
      <c r="L38" s="4" t="inlineStr">
        <is>
          <t>green</t>
        </is>
      </c>
      <c r="M38" s="4" t="n">
        <v>1</v>
      </c>
      <c r="N38" s="4" t="n"/>
      <c r="O38" s="4" t="n"/>
      <c r="P38" s="4" t="n"/>
    </row>
    <row r="39">
      <c r="A39" s="4" t="inlineStr">
        <is>
          <t>IAM-13.1</t>
        </is>
      </c>
      <c r="B39" s="4" t="inlineStr">
        <is>
          <t>Are processes, procedures, and technical measures for authenticating access to systems, application, and data assets including multifactor authentication for a least-privileged user and sensitive data access defined, implemented, and evaluated?</t>
        </is>
      </c>
      <c r="C39" s="4" t="inlineStr">
        <is>
          <t>Yes</t>
        </is>
      </c>
      <c r="D39" s="4" t="inlineStr">
        <is>
          <t>Information Security Policy §6</t>
        </is>
      </c>
      <c r="E39" s="4" t="inlineStr">
        <is>
          <t>green</t>
        </is>
      </c>
      <c r="F39" s="4" t="inlineStr">
        <is>
          <t>no</t>
        </is>
      </c>
      <c r="G39" s="4" t="n"/>
      <c r="H39" s="4" t="inlineStr">
        <is>
          <t>MFA mandatory for all workforce accounts; FIDO2 for privileged accounts; customer SSO and MFA, admins can enforce</t>
        </is>
      </c>
      <c r="I39" s="4" t="inlineStr">
        <is>
          <t>Shared CSP and CSC</t>
        </is>
      </c>
      <c r="J39" s="4" t="inlineStr">
        <is>
          <t>VQ-24</t>
        </is>
      </c>
      <c r="K39" s="4" t="inlineStr">
        <is>
          <t>Yes</t>
        </is>
      </c>
      <c r="L39" s="4" t="inlineStr">
        <is>
          <t>green</t>
        </is>
      </c>
      <c r="M39" s="4" t="n">
        <v>0.5</v>
      </c>
      <c r="N39" s="4" t="n"/>
      <c r="O39" s="4" t="n"/>
      <c r="P39" s="4" t="n"/>
    </row>
    <row r="40">
      <c r="A40" s="4" t="inlineStr">
        <is>
          <t>IAM-14.1</t>
        </is>
      </c>
      <c r="B40" s="4" t="inlineStr">
        <is>
          <t>Are processes, procedures, and technical measures for the secure management of authentication credentials, including passwords, defined, implemented, and evaluated?</t>
        </is>
      </c>
      <c r="C40" s="4" t="inlineStr">
        <is>
          <t>Yes</t>
        </is>
      </c>
      <c r="D40" s="4" t="inlineStr">
        <is>
          <t>Information Security Policy §6</t>
        </is>
      </c>
      <c r="E40" s="4" t="inlineStr">
        <is>
          <t>green</t>
        </is>
      </c>
      <c r="F40" s="4" t="inlineStr">
        <is>
          <t>no</t>
        </is>
      </c>
      <c r="G40" s="4" t="n"/>
      <c r="H40" s="4" t="inlineStr">
        <is>
          <t>Minimum 14 characters, breached password check, no forced rotation (NIST SP 800-63B); secrets in Key Vault</t>
        </is>
      </c>
      <c r="I40" s="4" t="inlineStr">
        <is>
          <t>CSP-owned</t>
        </is>
      </c>
      <c r="J40" s="4" t="inlineStr">
        <is>
          <t>VQ-25</t>
        </is>
      </c>
      <c r="K40" s="4" t="inlineStr">
        <is>
          <t>Yes</t>
        </is>
      </c>
      <c r="L40" s="4" t="inlineStr">
        <is>
          <t>green</t>
        </is>
      </c>
      <c r="M40" s="4" t="n">
        <v>0.5</v>
      </c>
      <c r="N40" s="4" t="n"/>
      <c r="O40" s="4" t="n"/>
      <c r="P40" s="4" t="n"/>
    </row>
    <row r="41">
      <c r="A41" s="4" t="inlineStr">
        <is>
          <t>IPY-02.1</t>
        </is>
      </c>
      <c r="B41" s="4" t="inlineStr">
        <is>
          <t>Are service customers able to programmatically retrieve their data via an application interface(s) to enable interoperability and portability?</t>
        </is>
      </c>
      <c r="C41" s="4" t="inlineStr">
        <is>
          <t>Yes</t>
        </is>
      </c>
      <c r="D41" s="4" t="inlineStr">
        <is>
          <t>Information Security Policy §12</t>
        </is>
      </c>
      <c r="E41" s="4" t="inlineStr">
        <is>
          <t>green</t>
        </is>
      </c>
      <c r="F41" s="4" t="inlineStr">
        <is>
          <t>no</t>
        </is>
      </c>
      <c r="G41" s="4" t="n"/>
      <c r="H41" s="4" t="inlineStr">
        <is>
          <t>REST API and full export in CSV and JSON</t>
        </is>
      </c>
      <c r="I41" s="4" t="inlineStr">
        <is>
          <t>CSP-owned</t>
        </is>
      </c>
      <c r="J41" s="4" t="n"/>
      <c r="K41" s="4" t="inlineStr">
        <is>
          <t>Yes</t>
        </is>
      </c>
      <c r="L41" s="4" t="inlineStr">
        <is>
          <t>green</t>
        </is>
      </c>
      <c r="M41" s="4" t="n">
        <v>1</v>
      </c>
      <c r="N41" s="4" t="n"/>
      <c r="O41" s="4" t="n"/>
      <c r="P41" s="4" t="n"/>
    </row>
    <row r="42">
      <c r="A42" s="4" t="inlineStr">
        <is>
          <t>IPY-04.1</t>
        </is>
      </c>
      <c r="B42" s="4" t="inlineStr">
        <is>
          <t>Do agreements include provisions specifying service customers' data access upon contract termination, and have the following? a. Data format b. Duration data will be stored c. Scope of the data retained and made available to the service customers d. Data deletion policy</t>
        </is>
      </c>
      <c r="C42" s="4" t="inlineStr">
        <is>
          <t>Yes</t>
        </is>
      </c>
      <c r="D42" s="4" t="inlineStr">
        <is>
          <t>Information Security Policy §12 vs Data Protection Policy §9</t>
        </is>
      </c>
      <c r="E42" s="4" t="inlineStr">
        <is>
          <t>orange</t>
        </is>
      </c>
      <c r="F42" s="4" t="inlineStr">
        <is>
          <t>yes</t>
        </is>
      </c>
      <c r="G42" s="4" t="inlineStr">
        <is>
          <t>CONTRADICTION between two policies</t>
        </is>
      </c>
      <c r="H42" s="4" t="inlineStr">
        <is>
          <t>Export possible after termination, BUT retention period conflicts: InfoSec Policy says 90 days, Data Protection Policy says 30 days</t>
        </is>
      </c>
      <c r="I42" s="4" t="inlineStr">
        <is>
          <t>CSP-owned</t>
        </is>
      </c>
      <c r="J42" s="4" t="n"/>
      <c r="K42" s="4" t="inlineStr">
        <is>
          <t>Yes</t>
        </is>
      </c>
      <c r="L42" s="4" t="inlineStr">
        <is>
          <t>green</t>
        </is>
      </c>
      <c r="M42" s="4" t="n">
        <v>0.5</v>
      </c>
      <c r="N42" s="4" t="n"/>
      <c r="O42" s="4" t="n"/>
      <c r="P42" s="4" t="n"/>
    </row>
    <row r="43">
      <c r="A43" s="4" t="inlineStr">
        <is>
          <t>I&amp;S-03.2</t>
        </is>
      </c>
      <c r="B43" s="4" t="inlineStr">
        <is>
          <t>Are communications between environments, services, and applications encrypted?</t>
        </is>
      </c>
      <c r="C43" s="4" t="inlineStr">
        <is>
          <t>Yes</t>
        </is>
      </c>
      <c r="D43" s="4" t="inlineStr">
        <is>
          <t>Information Security Policy §5</t>
        </is>
      </c>
      <c r="E43" s="4" t="inlineStr">
        <is>
          <t>green</t>
        </is>
      </c>
      <c r="F43" s="4" t="inlineStr">
        <is>
          <t>no</t>
        </is>
      </c>
      <c r="G43" s="4" t="n"/>
      <c r="H43" s="4" t="inlineStr">
        <is>
          <t>TLS 1.2+ for all external and internal service to service traffic</t>
        </is>
      </c>
      <c r="I43" s="4" t="inlineStr">
        <is>
          <t>CSP-owned</t>
        </is>
      </c>
      <c r="J43" s="4" t="inlineStr">
        <is>
          <t>VQ-26</t>
        </is>
      </c>
      <c r="K43" s="4" t="inlineStr">
        <is>
          <t>Yes</t>
        </is>
      </c>
      <c r="L43" s="4" t="inlineStr">
        <is>
          <t>green</t>
        </is>
      </c>
      <c r="M43" s="4" t="n">
        <v>1</v>
      </c>
      <c r="N43" s="4" t="n"/>
      <c r="O43" s="4" t="n"/>
      <c r="P43" s="4" t="n"/>
    </row>
    <row r="44">
      <c r="A44" s="4" t="inlineStr">
        <is>
          <t>I&amp;S-05.1</t>
        </is>
      </c>
      <c r="B44" s="4" t="inlineStr">
        <is>
          <t>Are the environments separated into production and non production environments to reduce the risk of sensitive production data being used in non-production environments?</t>
        </is>
      </c>
      <c r="C44" s="4" t="inlineStr">
        <is>
          <t>Yes</t>
        </is>
      </c>
      <c r="D44" s="4" t="inlineStr">
        <is>
          <t>Information Security Policy §4</t>
        </is>
      </c>
      <c r="E44" s="4" t="inlineStr">
        <is>
          <t>green</t>
        </is>
      </c>
      <c r="F44" s="4" t="inlineStr">
        <is>
          <t>no</t>
        </is>
      </c>
      <c r="G44" s="4" t="n"/>
      <c r="H44" s="4" t="inlineStr">
        <is>
          <t>Separate Azure subscriptions for production, staging and development</t>
        </is>
      </c>
      <c r="I44" s="4" t="inlineStr">
        <is>
          <t>CSP-owned</t>
        </is>
      </c>
      <c r="J44" s="4" t="n"/>
      <c r="K44" s="4" t="inlineStr">
        <is>
          <t>Yes</t>
        </is>
      </c>
      <c r="L44" s="4" t="inlineStr">
        <is>
          <t>green</t>
        </is>
      </c>
      <c r="M44" s="4" t="n">
        <v>1</v>
      </c>
      <c r="N44" s="4" t="n"/>
      <c r="O44" s="4" t="n"/>
      <c r="P44" s="4" t="n"/>
    </row>
    <row r="45">
      <c r="A45" s="4" t="inlineStr">
        <is>
          <t>LOG-02.1</t>
        </is>
      </c>
      <c r="B45" s="4" t="inlineStr">
        <is>
          <t>Are processes, procedures, and technical measures defined, implemented, and evaluated to ensure audit log security and retention?</t>
        </is>
      </c>
      <c r="C45" s="4" t="inlineStr">
        <is>
          <t>Yes</t>
        </is>
      </c>
      <c r="D45" s="4" t="inlineStr">
        <is>
          <t>Information Security Policy §9</t>
        </is>
      </c>
      <c r="E45" s="4" t="inlineStr">
        <is>
          <t>green</t>
        </is>
      </c>
      <c r="F45" s="4" t="inlineStr">
        <is>
          <t>no</t>
        </is>
      </c>
      <c r="G45" s="4" t="n"/>
      <c r="H45" s="4" t="inlineStr">
        <is>
          <t>Audit logs in immutable storage, restricted access, retained 12 months</t>
        </is>
      </c>
      <c r="I45" s="4" t="inlineStr">
        <is>
          <t>Shared CSP and 3rd-party</t>
        </is>
      </c>
      <c r="J45" s="4" t="inlineStr">
        <is>
          <t>VQ-27</t>
        </is>
      </c>
      <c r="K45" s="4" t="inlineStr">
        <is>
          <t>Yes</t>
        </is>
      </c>
      <c r="L45" s="4" t="inlineStr">
        <is>
          <t>green</t>
        </is>
      </c>
      <c r="M45" s="4" t="n">
        <v>1</v>
      </c>
      <c r="N45" s="4" t="n"/>
      <c r="O45" s="4" t="n"/>
      <c r="P45" s="4" t="n"/>
    </row>
    <row r="46">
      <c r="A46" s="4" t="inlineStr">
        <is>
          <t>LOG-03.2</t>
        </is>
      </c>
      <c r="B46" s="4" t="inlineStr">
        <is>
          <t>Is a system defined and implemented to generate alerts to responsible stakeholders based on security events and their corresponding metrics?</t>
        </is>
      </c>
      <c r="C46" s="4" t="inlineStr">
        <is>
          <t>Yes</t>
        </is>
      </c>
      <c r="D46" s="4" t="inlineStr">
        <is>
          <t>Information Security Policy §9</t>
        </is>
      </c>
      <c r="E46" s="4" t="inlineStr">
        <is>
          <t>green</t>
        </is>
      </c>
      <c r="F46" s="4" t="inlineStr">
        <is>
          <t>no</t>
        </is>
      </c>
      <c r="G46" s="4" t="n"/>
      <c r="H46" s="4" t="inlineStr">
        <is>
          <t>Microsoft Sentinel detection rules alert the on-call engineer 24/7</t>
        </is>
      </c>
      <c r="I46" s="4" t="inlineStr">
        <is>
          <t>CSP-owned</t>
        </is>
      </c>
      <c r="J46" s="4" t="n"/>
      <c r="K46" s="4" t="inlineStr">
        <is>
          <t>Yes</t>
        </is>
      </c>
      <c r="L46" s="4" t="inlineStr">
        <is>
          <t>green</t>
        </is>
      </c>
      <c r="M46" s="4" t="n">
        <v>1</v>
      </c>
      <c r="N46" s="4" t="n"/>
      <c r="O46" s="4" t="n"/>
      <c r="P46" s="4" t="n"/>
    </row>
    <row r="47">
      <c r="A47" s="4" t="inlineStr">
        <is>
          <t>SEF-03.1</t>
        </is>
      </c>
      <c r="B47" s="4" t="inlineStr">
        <is>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t>
        </is>
      </c>
      <c r="C47" s="4" t="inlineStr">
        <is>
          <t>Yes</t>
        </is>
      </c>
      <c r="D47" s="4" t="inlineStr">
        <is>
          <t>IR and BC Policy §2</t>
        </is>
      </c>
      <c r="E47" s="4" t="inlineStr">
        <is>
          <t>green</t>
        </is>
      </c>
      <c r="F47" s="4" t="inlineStr">
        <is>
          <t>no</t>
        </is>
      </c>
      <c r="G47" s="4" t="n"/>
      <c r="H47" s="4" t="inlineStr">
        <is>
          <t>IR plan with incident lead and comms lead; customers informed via security contacts and status page; breach notification within 24 hours</t>
        </is>
      </c>
      <c r="I47" s="4" t="inlineStr">
        <is>
          <t>CSP-owned</t>
        </is>
      </c>
      <c r="J47" s="4" t="inlineStr">
        <is>
          <t>VQ-28</t>
        </is>
      </c>
      <c r="K47" s="4" t="inlineStr">
        <is>
          <t>Yes</t>
        </is>
      </c>
      <c r="L47" s="4" t="inlineStr">
        <is>
          <t>green</t>
        </is>
      </c>
      <c r="M47" s="4" t="n">
        <v>0.5</v>
      </c>
      <c r="N47" s="4" t="n"/>
      <c r="O47" s="4" t="n"/>
      <c r="P47" s="4" t="n"/>
    </row>
    <row r="48">
      <c r="A48" s="4" t="inlineStr">
        <is>
          <t>SEF-08.2</t>
        </is>
      </c>
      <c r="B48" s="4" t="inlineStr">
        <is>
          <t>Are material security breaches reported (including any relevant supply chain breaches) as per applicable SLAs, laws, and regulations?</t>
        </is>
      </c>
      <c r="C48" s="4" t="inlineStr">
        <is>
          <t>Yes</t>
        </is>
      </c>
      <c r="D48" s="4" t="inlineStr">
        <is>
          <t>IR and BC Policy §2, Data Protection Policy §10</t>
        </is>
      </c>
      <c r="E48" s="4" t="inlineStr">
        <is>
          <t>green</t>
        </is>
      </c>
      <c r="F48" s="4" t="inlineStr">
        <is>
          <t>no</t>
        </is>
      </c>
      <c r="G48" s="4" t="n"/>
      <c r="H48" s="4" t="inlineStr">
        <is>
          <t>Customers notified within 24 hours of confirmed breach; Dutch DPA within 72 hours where controller; DORA reporting support</t>
        </is>
      </c>
      <c r="I48" s="4" t="inlineStr">
        <is>
          <t>CSP-owned</t>
        </is>
      </c>
      <c r="J48" s="4" t="n"/>
      <c r="K48" s="4" t="inlineStr">
        <is>
          <t>Yes</t>
        </is>
      </c>
      <c r="L48" s="4" t="inlineStr">
        <is>
          <t>green</t>
        </is>
      </c>
      <c r="M48" s="4" t="n">
        <v>1</v>
      </c>
      <c r="N48" s="4" t="n"/>
      <c r="O48" s="4" t="n"/>
      <c r="P48" s="4" t="n"/>
    </row>
    <row r="49">
      <c r="A49" s="4" t="inlineStr">
        <is>
          <t>TVM-03.1</t>
        </is>
      </c>
      <c r="B49" s="4" t="inlineStr">
        <is>
          <t>Are processes, procedures, and technical measures defined, implemented, and evaluated for vulnerability detection on organizationally managed assets at least monthly?</t>
        </is>
      </c>
      <c r="C49" s="4" t="inlineStr">
        <is>
          <t>Yes</t>
        </is>
      </c>
      <c r="D49" s="4" t="inlineStr">
        <is>
          <t>Information Security Policy §8</t>
        </is>
      </c>
      <c r="E49" s="4" t="inlineStr">
        <is>
          <t>green</t>
        </is>
      </c>
      <c r="F49" s="4" t="inlineStr">
        <is>
          <t>no</t>
        </is>
      </c>
      <c r="G49" s="4" t="n"/>
      <c r="H49" s="4" t="inlineStr">
        <is>
          <t>Continuous Defender for Cloud scanning, weekly container scans, daily dependency checks</t>
        </is>
      </c>
      <c r="I49" s="4" t="inlineStr">
        <is>
          <t>Shared CSP and 3rd-party</t>
        </is>
      </c>
      <c r="J49" s="4" t="inlineStr">
        <is>
          <t>VQ-29</t>
        </is>
      </c>
      <c r="K49" s="4" t="inlineStr">
        <is>
          <t>Yes</t>
        </is>
      </c>
      <c r="L49" s="4" t="inlineStr">
        <is>
          <t>green</t>
        </is>
      </c>
      <c r="M49" s="4" t="n">
        <v>1</v>
      </c>
      <c r="N49" s="4" t="n"/>
      <c r="O49" s="4" t="n"/>
      <c r="P49" s="4" t="n"/>
    </row>
    <row r="50">
      <c r="A50" s="4" t="inlineStr">
        <is>
          <t>TVM-07.1</t>
        </is>
      </c>
      <c r="B50" s="4" t="inlineStr">
        <is>
          <t>Are processes, procedures and technical measures defined, implemented and evaluated for the periodic performance of penetration testing by independent third parties?</t>
        </is>
      </c>
      <c r="C50" s="4" t="inlineStr">
        <is>
          <t>Yes</t>
        </is>
      </c>
      <c r="D50" s="4" t="inlineStr">
        <is>
          <t>Information Security Policy §8</t>
        </is>
      </c>
      <c r="E50" s="4" t="inlineStr">
        <is>
          <t>green</t>
        </is>
      </c>
      <c r="F50" s="4" t="inlineStr">
        <is>
          <t>no</t>
        </is>
      </c>
      <c r="G50" s="4" t="n"/>
      <c r="H50" s="4" t="inlineStr">
        <is>
          <t>Annual pentest by independent CREST accredited firm; most recent February 2026</t>
        </is>
      </c>
      <c r="I50" s="4" t="inlineStr">
        <is>
          <t>CSP-owned</t>
        </is>
      </c>
      <c r="J50" s="4" t="inlineStr">
        <is>
          <t>VQ-30</t>
        </is>
      </c>
      <c r="K50" s="4" t="inlineStr">
        <is>
          <t>Yes</t>
        </is>
      </c>
      <c r="L50" s="4" t="inlineStr">
        <is>
          <t>green</t>
        </is>
      </c>
      <c r="M50" s="4" t="n">
        <v>1</v>
      </c>
      <c r="N50" s="4" t="n"/>
      <c r="O50" s="4" t="n"/>
      <c r="P50" s="4" t="n"/>
    </row>
    <row r="51">
      <c r="A51" s="4" t="inlineStr">
        <is>
          <t>UEM-08.1</t>
        </is>
      </c>
      <c r="B51" s="4" t="inlineStr">
        <is>
          <t>Is information protected from unauthorized disclosure on managed endpoints with storage encryption?</t>
        </is>
      </c>
      <c r="C51" s="4" t="inlineStr">
        <is>
          <t>Yes</t>
        </is>
      </c>
      <c r="D51" s="4" t="inlineStr">
        <is>
          <t>Information Security Policy §10</t>
        </is>
      </c>
      <c r="E51" s="4" t="inlineStr">
        <is>
          <t>green</t>
        </is>
      </c>
      <c r="F51" s="4" t="inlineStr">
        <is>
          <t>no</t>
        </is>
      </c>
      <c r="G51" s="4" t="n"/>
      <c r="H51" s="4" t="inlineStr">
        <is>
          <t>Intune enforces full disk encryption (BitLocker or FileVault)</t>
        </is>
      </c>
      <c r="I51" s="4" t="inlineStr">
        <is>
          <t>CSP-owned</t>
        </is>
      </c>
      <c r="J51" s="4" t="n"/>
      <c r="K51" s="4" t="inlineStr">
        <is>
          <t>Yes</t>
        </is>
      </c>
      <c r="L51" s="4" t="inlineStr">
        <is>
          <t>green</t>
        </is>
      </c>
      <c r="M51" s="4" t="n">
        <v>1</v>
      </c>
      <c r="N51" s="4" t="n"/>
      <c r="O51" s="4" t="n"/>
      <c r="P51" s="4" t="n"/>
    </row>
    <row r="52"/>
    <row r="53">
      <c r="A53" s="6" t="inlineStr">
        <is>
          <t>SUMMARY</t>
        </is>
      </c>
      <c r="B53" s="6" t="n"/>
      <c r="C53" s="6" t="inlineStr">
        <is>
          <t>Nebius pipeline</t>
        </is>
      </c>
      <c r="D53" s="6" t="inlineStr">
        <is>
          <t>GPT baseline</t>
        </is>
      </c>
    </row>
    <row r="54">
      <c r="A54" s="9" t="inlineStr">
        <is>
          <t>Accuracy (avg score)</t>
        </is>
      </c>
      <c r="C54" s="8">
        <f>IFERROR(AVERAGE(M2:M51),"")</f>
        <v/>
      </c>
      <c r="D54" s="8">
        <f>IFERROR(AVERAGE(P2:P51),"")</f>
        <v/>
      </c>
    </row>
    <row r="55">
      <c r="A55" s="9" t="inlineStr">
        <is>
          <t>Flags correct (of 50)</t>
        </is>
      </c>
      <c r="C55" s="9">
        <f>SUMPRODUCT(--(L2:L51=E2:E51))</f>
        <v/>
      </c>
      <c r="D55" s="9">
        <f>SUMPRODUCT(--(O2:O51=E2:E51))</f>
        <v/>
      </c>
    </row>
    <row r="56">
      <c r="A56" s="9" t="inlineStr">
        <is>
          <t>Traps caught (of 8, score = 1)</t>
        </is>
      </c>
      <c r="C56" s="9">
        <f>SUMPRODUCT((F2:F51="yes")*(M2:M51=1))</f>
        <v/>
      </c>
      <c r="D56" s="9">
        <f>SUMPRODUCT((F2:F51="yes")*(P2:P51=1))</f>
        <v/>
      </c>
    </row>
    <row r="57">
      <c r="A57" s="9" t="inlineStr">
        <is>
          <t>Time per questionnaire (s)</t>
        </is>
      </c>
      <c r="B57" t="n">
        <v>16</v>
      </c>
    </row>
    <row r="58">
      <c r="A58" s="9" t="inlineStr">
        <is>
          <t>Cost per questionnaire (EUR)</t>
        </is>
      </c>
      <c r="B58" t="n">
        <v>0.023</v>
      </c>
    </row>
    <row r="59">
      <c r="A59" s="9" t="inlineStr">
        <is>
          <t>Data leaves EU</t>
        </is>
      </c>
      <c r="C59" s="9" t="inlineStr">
        <is>
          <t>No</t>
        </is>
      </c>
      <c r="D59" s="9" t="inlineStr">
        <is>
          <t>Yes</t>
        </is>
      </c>
    </row>
    <row r="60"/>
    <row r="61">
      <c r="A61" s="10" t="inlineStr">
        <is>
          <t>Scoring rule: 1 = answer, key facts and flag all match the key; 0,5 = answer right but a fact or the flag is off; 0 = wrong answer or invented fact.</t>
        </is>
      </c>
    </row>
  </sheetData>
  <autoFilter ref="$A$1:$P$51"/>
  <conditionalFormatting sqref="M2:M51 P2:P51">
    <cfRule type="colorScale" priority="1">
      <colorScale>
        <cfvo type="formula" val="0"/>
        <cfvo type="formula" val="0.5"/>
        <cfvo type="formula" val="1"/>
        <color rgb="FFE67C73"/>
        <color rgb="FFFFD666"/>
        <color rgb="FF57BB8A"/>
      </colorScale>
    </cfRule>
  </conditionalFormatting>
  <dataValidations count="3">
    <dataValidation sqref="E2:E51 L2:L51 O2:O51" showDropDown="0" showInputMessage="0" showErrorMessage="1" allowBlank="1" type="list">
      <formula1>"green,orange,red"</formula1>
    </dataValidation>
    <dataValidation sqref="M2:M51 P2:P51" showDropDown="1" showInputMessage="0" showErrorMessage="1" allowBlank="1" type="custom">
      <formula1>OR(M2=1,M2=0.5,M2=0)</formula1>
    </dataValidation>
    <dataValidation sqref="F2:F51" showDropDown="0" showInputMessage="0" showErrorMessage="1"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2026-09-23T10:35:35Z</dcterms:created>
  <dcterms:modified xsi:type="dcterms:W3CDTF">2026-09-23T10:35:35Z</dcterms:modified>
</cp:coreProperties>
</file>